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ichard\Excel\DocuVeeb\"/>
    </mc:Choice>
  </mc:AlternateContent>
  <xr:revisionPtr revIDLastSave="0" documentId="13_ncr:1_{9F0D3C6B-0506-45C3-AE42-FCB630967191}" xr6:coauthVersionLast="47" xr6:coauthVersionMax="47" xr10:uidLastSave="{00000000-0000-0000-0000-000000000000}"/>
  <bookViews>
    <workbookView xWindow="2562" yWindow="144" windowWidth="20274" windowHeight="11730" xr2:uid="{00000000-000D-0000-FFFF-FFFF00000000}"/>
  </bookViews>
  <sheets>
    <sheet name="Parameters" sheetId="4" r:id="rId1"/>
    <sheet name="Change Log" sheetId="5" r:id="rId2"/>
    <sheet name="Notes &amp; Calcs" sheetId="10" r:id="rId3"/>
  </sheets>
  <functionGroups builtInGroupCount="19"/>
  <definedNames>
    <definedName name="calcDocuVeebPath">'Notes &amp; Calcs'!$A$25</definedName>
    <definedName name="calcProjectOffset">'Notes &amp; Calcs'!$A$29</definedName>
    <definedName name="calcThisVersion">Parameters!$A$4</definedName>
    <definedName name="fileContents">Parameters!$B$14</definedName>
    <definedName name="fileIndex">Parameters!$B$27</definedName>
    <definedName name="fileVbaProject">Parameters!$B$11</definedName>
    <definedName name="listExcludeModule1">Parameters!#REF!</definedName>
    <definedName name="listExcludeModules">OFFSET(listExcludeModule1, 0, 0, COUNTA(INDIRECT(Parameters!#REF!)), 1)</definedName>
    <definedName name="listProjectNames">Parameters!$C$8:INDEX(Parameters!$8:$8,COUNTA(Parameters!$8:$8))</definedName>
    <definedName name="optionGroupPages">Parameters!$B$20</definedName>
    <definedName name="optionHtmlHelpContents">Parameters!$B$24</definedName>
    <definedName name="optionHtmlHelpProject">Parameters!$B$23</definedName>
    <definedName name="optionIncludeConstants">Parameters!$B$19</definedName>
    <definedName name="optionIncludeEnums">Parameters!$B$18</definedName>
    <definedName name="optionIncludePrivate">Parameters!$B$17</definedName>
    <definedName name="optionWebHelpContents">Parameters!$B$16</definedName>
    <definedName name="pathGroupFiles">Parameters!$B$13</definedName>
    <definedName name="pathProject">Parameters!$B$10</definedName>
    <definedName name="pathTopicFiles">Parameters!$B$12</definedName>
    <definedName name="ProjectDisplayName">Parameters!$B$9</definedName>
    <definedName name="ProjectName">Parameters!$B$8</definedName>
    <definedName name="txtHhpOptions">Parameters!$A$26:$B$36</definedName>
    <definedName name="txtHtmlExtension">Parameters!$B$15</definedName>
  </definedNames>
  <calcPr calcId="191029"/>
</workbook>
</file>

<file path=xl/calcChain.xml><?xml version="1.0" encoding="utf-8"?>
<calcChain xmlns="http://schemas.openxmlformats.org/spreadsheetml/2006/main">
  <c r="A25" i="10" l="1"/>
  <c r="A29" i="10"/>
  <c r="B10" i="4" l="1"/>
  <c r="B36" i="4" l="1"/>
  <c r="D30" i="4"/>
  <c r="C30" i="4"/>
  <c r="B24" i="4" l="1"/>
  <c r="B20" i="4"/>
  <c r="B13" i="4"/>
  <c r="B15" i="4"/>
  <c r="B12" i="4"/>
  <c r="B26" i="4"/>
  <c r="B14" i="4"/>
  <c r="B27" i="4"/>
  <c r="B23" i="4"/>
  <c r="B31" i="4"/>
  <c r="B19" i="4"/>
  <c r="B33" i="4"/>
  <c r="B32" i="4"/>
  <c r="B9" i="4"/>
  <c r="B16" i="4"/>
  <c r="B28" i="4"/>
  <c r="B34" i="4"/>
  <c r="B17" i="4"/>
  <c r="B29" i="4"/>
  <c r="B35" i="4"/>
  <c r="B11" i="4"/>
  <c r="B18" i="4"/>
  <c r="B30" i="4"/>
</calcChain>
</file>

<file path=xl/sharedStrings.xml><?xml version="1.0" encoding="utf-8"?>
<sst xmlns="http://schemas.openxmlformats.org/spreadsheetml/2006/main" count="167" uniqueCount="140">
  <si>
    <t>Project Name</t>
  </si>
  <si>
    <t>Topic Files Path</t>
  </si>
  <si>
    <t>Group Files Path</t>
  </si>
  <si>
    <t>Define Project</t>
  </si>
  <si>
    <t>Contents Filename</t>
  </si>
  <si>
    <t>Version</t>
  </si>
  <si>
    <t>Date</t>
  </si>
  <si>
    <t>Changes</t>
  </si>
  <si>
    <t>Status</t>
  </si>
  <si>
    <t>Minor tweaks to Topic page format</t>
  </si>
  <si>
    <t>Support added for procedure membership in multiple groups; groups are currently listed on the Topic pages, without linking to the group pages</t>
  </si>
  <si>
    <t>Allows specifying the output path, with subfolders for Topic and Group HTML files</t>
  </si>
  <si>
    <t>Alphabetized procedures within groups</t>
  </si>
  <si>
    <t>Alphabetized groups in Contents (less useful than procedures)</t>
  </si>
  <si>
    <t>Support added for noting whether functions can be used in a worksheet, using @worksheet tag</t>
  </si>
  <si>
    <t>Support for classes</t>
  </si>
  <si>
    <t>Public/Private declaration</t>
  </si>
  <si>
    <t>[OPTIONS]</t>
  </si>
  <si>
    <t>Binary Index</t>
  </si>
  <si>
    <t>No</t>
  </si>
  <si>
    <t>Compatibility</t>
  </si>
  <si>
    <t>1.1 or later</t>
  </si>
  <si>
    <t>Default topic</t>
  </si>
  <si>
    <t>Display compile progress</t>
  </si>
  <si>
    <t>Yes</t>
  </si>
  <si>
    <t>Error log file</t>
  </si>
  <si>
    <t>Full-text search</t>
  </si>
  <si>
    <t>Language</t>
  </si>
  <si>
    <t>0x409 English (United States)</t>
  </si>
  <si>
    <t>Title</t>
  </si>
  <si>
    <t>PMO Public Library</t>
  </si>
  <si>
    <t>ErrorLog.txt</t>
  </si>
  <si>
    <t>Display Name</t>
  </si>
  <si>
    <t>Topics\</t>
  </si>
  <si>
    <t>Groups\</t>
  </si>
  <si>
    <t>Generate Group pages</t>
  </si>
  <si>
    <t>Begun function to convert link tags to HTML links</t>
  </si>
  <si>
    <t>Now looks for paired single quotes to start proc documentation; if found, removes any preceeding comments from the description</t>
  </si>
  <si>
    <t>Support for VBA project member in Declaration, to allow multiple projects. Member Get/Set created; value set in Documenter macro. Looping not yet supported.</t>
  </si>
  <si>
    <t>Captures both declarations if applicable (read/write) for properties, and reports both</t>
  </si>
  <si>
    <t>Auto-saved after crash</t>
  </si>
  <si>
    <t>Added Include\ folder for input files, e.g., .css, examples</t>
  </si>
  <si>
    <t>DocuVeeb</t>
  </si>
  <si>
    <t>DocuVeeb Auto Doc</t>
  </si>
  <si>
    <t>PMO Index.hhk</t>
  </si>
  <si>
    <t>Index.hhk</t>
  </si>
  <si>
    <t>calcProjectOffset</t>
  </si>
  <si>
    <t>DocuVeeb.chm</t>
  </si>
  <si>
    <t>PmoPublicLibrary</t>
  </si>
  <si>
    <t>Help (.hhp) File</t>
  </si>
  <si>
    <t>Create HTML Help Contents</t>
  </si>
  <si>
    <t>Create HTML Help Project</t>
  </si>
  <si>
    <t>Create Web Help Contents</t>
  </si>
  <si>
    <t>Project support on Parameters page</t>
  </si>
  <si>
    <t>Contents</t>
  </si>
  <si>
    <t>PMO Contents</t>
  </si>
  <si>
    <t>Groups\Arrays.htm</t>
  </si>
  <si>
    <t>PmoLibraryHelp.chm</t>
  </si>
  <si>
    <t>Groups\ClsDeclaration.htm</t>
  </si>
  <si>
    <t>Select Project to Document</t>
  </si>
  <si>
    <t>.htm</t>
  </si>
  <si>
    <t>Internal links can now refer to a class, in addition to a procedure. A stand-alone class name must follow notation requirements, with dot: "@see .ClsLogging" (a name w/o punctuation is interpreted as a procedure)</t>
  </si>
  <si>
    <t>Creates Windows HTML Help project file</t>
  </si>
  <si>
    <t>1.10.01</t>
  </si>
  <si>
    <t>Removed DeclarationAlt; class uses distinct StatementRead and StatementWrite</t>
  </si>
  <si>
    <t>Began work on reading initial declaration statements (constants, enums) in each module</t>
  </si>
  <si>
    <t>HTML file extension (.htm/.html)</t>
  </si>
  <si>
    <t>1.10.02</t>
  </si>
  <si>
    <t>Captures declaration section in array</t>
  </si>
  <si>
    <t>IsOptionPrivate added to ClsDeclaration; combined w/ Public will lead to "Project" scope</t>
  </si>
  <si>
    <t>Including non-Public declarations now based on option set on Parameters page</t>
  </si>
  <si>
    <t>Include Non-Public declarations</t>
  </si>
  <si>
    <t>"Project" scope partially implemented; need to allow for read/write properties to have different scope for each</t>
  </si>
  <si>
    <t>Converted hard-coded ".htm" extension to project-based parameter</t>
  </si>
  <si>
    <t>Need output control: Public/non-Public; Enum Yes/No</t>
  </si>
  <si>
    <t>Set in workbook to allow a single read</t>
  </si>
  <si>
    <t>Need type to match</t>
  </si>
  <si>
    <t>Private = 1; Enum = 2</t>
  </si>
  <si>
    <t>1.10.03</t>
  </si>
  <si>
    <t>LinkInterpret called at end of creation step, before output; had been limited to deprecated code, at output</t>
  </si>
  <si>
    <t>1.10.04</t>
  </si>
  <si>
    <t>Text within &lt;code&gt; tags to be handled literally, without interpretation of inline tags</t>
  </si>
  <si>
    <t>Tag @docdate added, to indicate last update to a documentation page</t>
  </si>
  <si>
    <t>Inline tag interpretation extended to parameter descriptions</t>
  </si>
  <si>
    <t>Inline tag interpretation extended to worksheet notation; No can include a link to a substitute function that is worksheet accessible</t>
  </si>
  <si>
    <t>Fixed issue in LinkInterpret(), whereby module w/o procedure was given a leading dot in filename</t>
  </si>
  <si>
    <t>1.10.05</t>
  </si>
  <si>
    <t>Began inclusion of external example via the @example tag; only the statement with link is currently supported</t>
  </si>
  <si>
    <t>Include UDF registration for worksheet functions</t>
  </si>
  <si>
    <t>1.10.06</t>
  </si>
  <si>
    <t>1.10.07</t>
  </si>
  <si>
    <t>Deleted 2 pages of function lists</t>
  </si>
  <si>
    <t>Added Exporter page; start of tool for exporting all modules for comparison, with ButtonCodeExport() and button</t>
  </si>
  <si>
    <t>Private Dummy As Int = 1</t>
  </si>
  <si>
    <t>Follow with meaningless Private statement if no declarations exist in module</t>
  </si>
  <si>
    <t>Group notes must be in declaration section</t>
  </si>
  <si>
    <t>1.10.08</t>
  </si>
  <si>
    <t>Added Notes page on processing the array of declaration statements</t>
  </si>
  <si>
    <t>Option Base { 0 | 1 }</t>
  </si>
  <si>
    <t>Option Compare { Binary | Text | Database }</t>
  </si>
  <si>
    <t>Option Explicit</t>
  </si>
  <si>
    <t>Option Private Module</t>
  </si>
  <si>
    <t>1.10.09</t>
  </si>
  <si>
    <t>Added DocuVeeb statement w/ version to output HTML pages</t>
  </si>
  <si>
    <t>1.10.10</t>
  </si>
  <si>
    <t>1.10.11</t>
  </si>
  <si>
    <t>Extend group description to non-class modules</t>
  </si>
  <si>
    <t>Group description for class modules</t>
  </si>
  <si>
    <t>SiDi Library 2.10.26 (formerly PMO Library)</t>
  </si>
  <si>
    <t>DocuVeeb 2.0</t>
  </si>
  <si>
    <t>2.0.0</t>
  </si>
  <si>
    <t>Removed extraneous modules</t>
  </si>
  <si>
    <t>Removed LinkInterpretOld()</t>
  </si>
  <si>
    <t>C:\Richard\Excel\DocuVeebProjects\DocuVeeb\</t>
  </si>
  <si>
    <t>C:\Richard\Excel\DocuVeebProjects\PMO\</t>
  </si>
  <si>
    <t>Moved Projects folder outside of DocuVeeb to exclude output from Git</t>
  </si>
  <si>
    <t>Adaptions for moving DocuVeeb to Git repo</t>
  </si>
  <si>
    <t>Made project list range dynamic to accommodate additions/deletions w/o needing to redefine range</t>
  </si>
  <si>
    <t>Removed Exporter page and module; keep as stand-alone tool</t>
  </si>
  <si>
    <t>Project Path (output)</t>
  </si>
  <si>
    <t>Include Enums (under dev)</t>
  </si>
  <si>
    <t>Include Constants (under dev)</t>
  </si>
  <si>
    <t>VBA Project (wkbk; start of name)</t>
  </si>
  <si>
    <t>Columns A-B are formulas</t>
  </si>
  <si>
    <r>
      <t xml:space="preserve">Define new projects in columns C and to right </t>
    </r>
    <r>
      <rPr>
        <b/>
        <sz val="11"/>
        <color theme="1"/>
        <rFont val="Calibri"/>
        <family val="2"/>
      </rPr>
      <t>→</t>
    </r>
  </si>
  <si>
    <t>DocuVeeb version</t>
  </si>
  <si>
    <t>Selection choice on Parameters page.</t>
  </si>
  <si>
    <t>Removed all but 2 projects, left as examples</t>
  </si>
  <si>
    <t>Select current project in B8</t>
  </si>
  <si>
    <t>Compiled file (.chm)</t>
  </si>
  <si>
    <t>Contents file (.hhc)</t>
  </si>
  <si>
    <t>Index Filename (.hhk)</t>
  </si>
  <si>
    <t>@groupnote</t>
  </si>
  <si>
    <t>Module Option statements below</t>
  </si>
  <si>
    <t>Need to allow HTML tags in group notes</t>
  </si>
  <si>
    <t>FUTURE WORK</t>
  </si>
  <si>
    <t>Parse constants, enums</t>
  </si>
  <si>
    <t>Ensure option statements are interpreted as applicable for procedures within module</t>
  </si>
  <si>
    <t>RUN-TIME CALCULATIONS</t>
  </si>
  <si>
    <t>2.0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</si>
</sst>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2"/>
      <color rgb="FF000000"/>
      <name val="Calibri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13">
    <xf numFmtId="0" fontId="0" fillId="0" borderId="0" xfId="0"/>
    <xf numFmtId="0" fontId="0" fillId="0" borderId="0" xfId="0" applyAlignment="1">
      <alignment vertical="top" wrapText="1"/>
    </xf>
    <xf numFmtId="0" fontId="1" fillId="0" borderId="0" xfId="0" applyFont="1"/>
    <xf numFmtId="0" fontId="0" fillId="0" borderId="0" xfId="0" applyProtection="1">
      <protection locked="0"/>
    </xf>
    <xf numFmtId="0" fontId="3" fillId="2" borderId="0" xfId="1" applyFont="1" applyFill="1" applyAlignment="1">
      <alignment horizontal="center" vertical="top" wrapText="1"/>
    </xf>
    <xf numFmtId="49" fontId="3" fillId="2" borderId="0" xfId="1" applyNumberFormat="1" applyFont="1" applyFill="1" applyAlignment="1">
      <alignment horizontal="center" vertical="top" wrapText="1"/>
    </xf>
    <xf numFmtId="14" fontId="0" fillId="0" borderId="0" xfId="0" applyNumberFormat="1" applyAlignment="1">
      <alignment vertical="top" wrapText="1"/>
    </xf>
    <xf numFmtId="0" fontId="0" fillId="3" borderId="1" xfId="0" applyFill="1" applyBorder="1" applyProtection="1">
      <protection locked="0"/>
    </xf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1" fillId="0" borderId="0" xfId="0" applyFont="1" applyProtection="1">
      <protection locked="0"/>
    </xf>
    <xf numFmtId="0" fontId="0" fillId="0" borderId="0" xfId="0" quotePrefix="1"/>
    <xf numFmtId="49" fontId="0" fillId="0" borderId="0" xfId="0" applyNumberFormat="1" applyAlignment="1">
      <alignment horizontal="center"/>
    </xf>
  </cellXfs>
  <cellStyles count="2">
    <cellStyle name="Normal" xfId="0" builtinId="0"/>
    <cellStyle name="Normal 2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335280</xdr:colOff>
          <xdr:row>0</xdr:row>
          <xdr:rowOff>152400</xdr:rowOff>
        </xdr:from>
        <xdr:to>
          <xdr:col>1</xdr:col>
          <xdr:colOff>2590800</xdr:colOff>
          <xdr:row>4</xdr:row>
          <xdr:rowOff>118110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Document Selected Project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3:N36"/>
  <sheetViews>
    <sheetView tabSelected="1" zoomScaleNormal="100" workbookViewId="0">
      <selection activeCell="A5" sqref="A5"/>
    </sheetView>
  </sheetViews>
  <sheetFormatPr defaultRowHeight="14.4" x14ac:dyDescent="0.55000000000000004"/>
  <cols>
    <col min="1" max="1" width="29.3125" customWidth="1"/>
    <col min="2" max="2" width="39.68359375" customWidth="1"/>
    <col min="3" max="3" width="42.1015625" customWidth="1"/>
    <col min="4" max="4" width="39.15625" customWidth="1"/>
    <col min="5" max="5" width="26.7890625" customWidth="1"/>
    <col min="9" max="9" width="22.7890625" customWidth="1"/>
  </cols>
  <sheetData>
    <row r="3" spans="1:14" x14ac:dyDescent="0.55000000000000004">
      <c r="A3" s="9" t="s">
        <v>125</v>
      </c>
    </row>
    <row r="4" spans="1:14" x14ac:dyDescent="0.55000000000000004">
      <c r="A4" s="12" t="s">
        <v>139</v>
      </c>
      <c r="C4" s="2" t="s">
        <v>123</v>
      </c>
    </row>
    <row r="5" spans="1:14" x14ac:dyDescent="0.55000000000000004">
      <c r="C5" s="2" t="s">
        <v>124</v>
      </c>
    </row>
    <row r="6" spans="1:14" x14ac:dyDescent="0.55000000000000004">
      <c r="C6" s="2" t="s">
        <v>128</v>
      </c>
    </row>
    <row r="7" spans="1:14" x14ac:dyDescent="0.55000000000000004">
      <c r="A7" s="2" t="s">
        <v>3</v>
      </c>
      <c r="B7" s="2" t="s">
        <v>59</v>
      </c>
    </row>
    <row r="8" spans="1:14" x14ac:dyDescent="0.55000000000000004">
      <c r="A8" t="s">
        <v>0</v>
      </c>
      <c r="B8" s="7" t="s">
        <v>42</v>
      </c>
      <c r="C8" s="10" t="s">
        <v>42</v>
      </c>
      <c r="D8" s="10" t="s">
        <v>30</v>
      </c>
      <c r="E8" s="10"/>
      <c r="F8" s="10"/>
      <c r="G8" s="3"/>
      <c r="H8" s="3"/>
      <c r="I8" s="3"/>
      <c r="J8" s="3"/>
      <c r="K8" s="3"/>
      <c r="L8" s="3"/>
      <c r="M8" s="3"/>
      <c r="N8" s="3"/>
    </row>
    <row r="9" spans="1:14" x14ac:dyDescent="0.55000000000000004">
      <c r="A9" t="s">
        <v>32</v>
      </c>
      <c r="B9" t="str">
        <f t="shared" ref="B9:B15" ca="1" si="0">OFFSET(B9, 0, calcProjectOffset)</f>
        <v>DocuVeeb 2.0</v>
      </c>
      <c r="C9" s="3" t="s">
        <v>109</v>
      </c>
      <c r="D9" s="3" t="s">
        <v>108</v>
      </c>
      <c r="E9" s="3"/>
      <c r="F9" s="3"/>
      <c r="G9" s="3"/>
      <c r="H9" s="3"/>
      <c r="I9" s="3"/>
      <c r="J9" s="3"/>
      <c r="K9" s="3"/>
      <c r="L9" s="3"/>
      <c r="M9" s="3"/>
      <c r="N9" s="3"/>
    </row>
    <row r="10" spans="1:14" x14ac:dyDescent="0.55000000000000004">
      <c r="A10" t="s">
        <v>119</v>
      </c>
      <c r="B10" t="str">
        <f t="shared" ca="1" si="0"/>
        <v>C:\Richard\Excel\DocuVeebProjects\DocuVeeb\</v>
      </c>
      <c r="C10" s="3" t="s">
        <v>113</v>
      </c>
      <c r="D10" s="3" t="s">
        <v>114</v>
      </c>
      <c r="E10" s="3"/>
      <c r="F10" s="3"/>
      <c r="G10" s="3"/>
      <c r="H10" s="3"/>
      <c r="I10" s="3"/>
      <c r="J10" s="3"/>
      <c r="K10" s="3"/>
      <c r="L10" s="3"/>
      <c r="M10" s="3"/>
      <c r="N10" s="3"/>
    </row>
    <row r="11" spans="1:14" x14ac:dyDescent="0.55000000000000004">
      <c r="A11" t="s">
        <v>122</v>
      </c>
      <c r="B11" t="str">
        <f t="shared" ca="1" si="0"/>
        <v>DocuVeeb</v>
      </c>
      <c r="C11" s="3" t="s">
        <v>42</v>
      </c>
      <c r="D11" s="3" t="s">
        <v>48</v>
      </c>
      <c r="E11" s="3"/>
      <c r="F11" s="3"/>
      <c r="G11" s="3"/>
      <c r="H11" s="3"/>
      <c r="I11" s="3"/>
      <c r="J11" s="3"/>
      <c r="K11" s="3"/>
      <c r="L11" s="3"/>
      <c r="M11" s="3"/>
      <c r="N11" s="3"/>
    </row>
    <row r="12" spans="1:14" x14ac:dyDescent="0.55000000000000004">
      <c r="A12" t="s">
        <v>1</v>
      </c>
      <c r="B12" t="str">
        <f t="shared" ca="1" si="0"/>
        <v>Topics\</v>
      </c>
      <c r="C12" s="3" t="s">
        <v>33</v>
      </c>
      <c r="D12" s="3" t="s">
        <v>33</v>
      </c>
      <c r="E12" s="3"/>
      <c r="F12" s="3"/>
      <c r="G12" s="3"/>
      <c r="H12" s="3"/>
      <c r="I12" s="3"/>
      <c r="J12" s="3"/>
      <c r="K12" s="3"/>
      <c r="L12" s="3"/>
      <c r="M12" s="3"/>
      <c r="N12" s="3"/>
    </row>
    <row r="13" spans="1:14" x14ac:dyDescent="0.55000000000000004">
      <c r="A13" t="s">
        <v>2</v>
      </c>
      <c r="B13" t="str">
        <f t="shared" ca="1" si="0"/>
        <v>Groups\</v>
      </c>
      <c r="C13" s="3" t="s">
        <v>34</v>
      </c>
      <c r="D13" s="3" t="s">
        <v>34</v>
      </c>
      <c r="E13" s="3"/>
      <c r="F13" s="3"/>
      <c r="G13" s="3"/>
      <c r="H13" s="3"/>
      <c r="I13" s="3"/>
      <c r="J13" s="3"/>
      <c r="K13" s="3"/>
      <c r="L13" s="3"/>
      <c r="M13" s="3"/>
      <c r="N13" s="3"/>
    </row>
    <row r="14" spans="1:14" x14ac:dyDescent="0.55000000000000004">
      <c r="A14" t="s">
        <v>4</v>
      </c>
      <c r="B14" t="str">
        <f t="shared" ca="1" si="0"/>
        <v>Contents</v>
      </c>
      <c r="C14" s="3" t="s">
        <v>54</v>
      </c>
      <c r="D14" s="3" t="s">
        <v>55</v>
      </c>
      <c r="E14" s="3"/>
      <c r="F14" s="3"/>
      <c r="G14" s="3"/>
      <c r="H14" s="3"/>
      <c r="I14" s="3"/>
      <c r="J14" s="3"/>
      <c r="K14" s="3"/>
      <c r="L14" s="3"/>
      <c r="M14" s="3"/>
      <c r="N14" s="3"/>
    </row>
    <row r="15" spans="1:14" x14ac:dyDescent="0.55000000000000004">
      <c r="A15" t="s">
        <v>66</v>
      </c>
      <c r="B15" t="str">
        <f t="shared" ca="1" si="0"/>
        <v>.htm</v>
      </c>
      <c r="C15" s="3" t="s">
        <v>60</v>
      </c>
      <c r="D15" s="3" t="s">
        <v>60</v>
      </c>
      <c r="E15" s="3"/>
      <c r="F15" s="3"/>
      <c r="G15" s="3"/>
      <c r="H15" s="3"/>
      <c r="I15" s="3"/>
      <c r="J15" s="3"/>
      <c r="K15" s="3"/>
      <c r="L15" s="3"/>
      <c r="M15" s="3"/>
      <c r="N15" s="3"/>
    </row>
    <row r="16" spans="1:14" x14ac:dyDescent="0.55000000000000004">
      <c r="A16" t="s">
        <v>52</v>
      </c>
      <c r="B16" t="b">
        <f ca="1">IF(OR(OFFSET(B16, 0, calcProjectOffset) = TRUE, OFFSET(B16, 0, calcProjectOffset) = "Yes"), TRUE, FALSE)</f>
        <v>1</v>
      </c>
      <c r="C16" s="3" t="s">
        <v>24</v>
      </c>
      <c r="D16" s="3" t="s">
        <v>24</v>
      </c>
      <c r="E16" s="3"/>
      <c r="F16" s="3"/>
      <c r="G16" s="3"/>
      <c r="H16" s="3"/>
      <c r="I16" s="3"/>
      <c r="J16" s="3"/>
      <c r="K16" s="3"/>
      <c r="L16" s="3"/>
      <c r="M16" s="3"/>
      <c r="N16" s="3"/>
    </row>
    <row r="17" spans="1:14" x14ac:dyDescent="0.55000000000000004">
      <c r="A17" t="s">
        <v>71</v>
      </c>
      <c r="B17" t="b">
        <f ca="1">IF(OR(OFFSET(B17, 0, calcProjectOffset) = TRUE, OFFSET(B17, 0, calcProjectOffset) = "Yes"), TRUE, FALSE)</f>
        <v>1</v>
      </c>
      <c r="C17" s="3" t="s">
        <v>24</v>
      </c>
      <c r="D17" s="3" t="s">
        <v>19</v>
      </c>
      <c r="E17" s="3"/>
      <c r="F17" s="3"/>
      <c r="G17" s="3"/>
      <c r="H17" s="3"/>
      <c r="I17" s="3"/>
      <c r="J17" s="3"/>
      <c r="K17" s="3"/>
      <c r="L17" s="3"/>
      <c r="M17" s="3"/>
      <c r="N17" s="3"/>
    </row>
    <row r="18" spans="1:14" x14ac:dyDescent="0.55000000000000004">
      <c r="A18" t="s">
        <v>120</v>
      </c>
      <c r="B18" t="b">
        <f ca="1">IF(OR(OFFSET(B18, 0, calcProjectOffset) = TRUE, OFFSET(B18, 0, calcProjectOffset) = "Yes"), TRUE, FALSE)</f>
        <v>0</v>
      </c>
      <c r="C18" s="3" t="s">
        <v>19</v>
      </c>
      <c r="D18" s="3" t="s">
        <v>19</v>
      </c>
      <c r="E18" s="3"/>
      <c r="F18" s="3"/>
      <c r="G18" s="3"/>
      <c r="H18" s="3"/>
      <c r="I18" s="3"/>
      <c r="J18" s="3"/>
      <c r="K18" s="3"/>
      <c r="L18" s="3"/>
      <c r="M18" s="3"/>
      <c r="N18" s="3"/>
    </row>
    <row r="19" spans="1:14" x14ac:dyDescent="0.55000000000000004">
      <c r="A19" t="s">
        <v>121</v>
      </c>
      <c r="B19" t="b">
        <f ca="1">IF(OR(OFFSET(B19, 0, calcProjectOffset) = TRUE, OFFSET(B19, 0, calcProjectOffset) = "Yes"), TRUE, FALSE)</f>
        <v>0</v>
      </c>
      <c r="C19" s="3" t="s">
        <v>19</v>
      </c>
      <c r="D19" s="3" t="s">
        <v>19</v>
      </c>
      <c r="E19" s="3"/>
      <c r="F19" s="3"/>
      <c r="G19" s="3"/>
      <c r="H19" s="3"/>
      <c r="I19" s="3"/>
      <c r="J19" s="3"/>
      <c r="K19" s="3"/>
      <c r="L19" s="3"/>
      <c r="M19" s="3"/>
      <c r="N19" s="3"/>
    </row>
    <row r="20" spans="1:14" x14ac:dyDescent="0.55000000000000004">
      <c r="A20" t="s">
        <v>35</v>
      </c>
      <c r="B20" t="b">
        <f ca="1">IF(OR(OFFSET(B20, 0, calcProjectOffset) = TRUE, OFFSET(B20, 0, calcProjectOffset) = "Yes"), TRUE, FALSE)</f>
        <v>1</v>
      </c>
      <c r="C20" s="3" t="s">
        <v>24</v>
      </c>
      <c r="D20" s="3" t="s">
        <v>24</v>
      </c>
      <c r="E20" s="3"/>
      <c r="F20" s="3"/>
      <c r="G20" s="3"/>
      <c r="H20" s="3"/>
      <c r="I20" s="3"/>
      <c r="J20" s="3"/>
      <c r="K20" s="3"/>
      <c r="L20" s="3"/>
      <c r="M20" s="3"/>
      <c r="N20" s="3"/>
    </row>
    <row r="21" spans="1:14" x14ac:dyDescent="0.55000000000000004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</row>
    <row r="22" spans="1:14" x14ac:dyDescent="0.55000000000000004">
      <c r="A22" s="2" t="s">
        <v>49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</row>
    <row r="23" spans="1:14" x14ac:dyDescent="0.55000000000000004">
      <c r="A23" t="s">
        <v>51</v>
      </c>
      <c r="B23" t="b">
        <f ca="1">IF(OR(OFFSET(B23, 0, calcProjectOffset) = TRUE, OFFSET(B23, 0, calcProjectOffset) = "Yes"), TRUE, FALSE)</f>
        <v>1</v>
      </c>
      <c r="C23" s="3" t="s">
        <v>24</v>
      </c>
      <c r="D23" s="3" t="s">
        <v>19</v>
      </c>
      <c r="E23" s="3"/>
      <c r="F23" s="3"/>
      <c r="G23" s="3"/>
      <c r="H23" s="3"/>
      <c r="I23" s="3"/>
      <c r="J23" s="3"/>
      <c r="K23" s="3"/>
      <c r="L23" s="3"/>
      <c r="M23" s="3"/>
      <c r="N23" s="3"/>
    </row>
    <row r="24" spans="1:14" x14ac:dyDescent="0.55000000000000004">
      <c r="A24" t="s">
        <v>50</v>
      </c>
      <c r="B24" t="b">
        <f ca="1">IF(OR(OFFSET(B24, 0, calcProjectOffset) = TRUE, OFFSET(B24, 0, calcProjectOffset) = "Yes"), TRUE, FALSE)</f>
        <v>1</v>
      </c>
      <c r="C24" s="3" t="s">
        <v>24</v>
      </c>
      <c r="D24" s="3" t="s">
        <v>24</v>
      </c>
      <c r="E24" s="3"/>
      <c r="F24" s="3"/>
      <c r="G24" s="3"/>
      <c r="H24" s="3"/>
      <c r="I24" s="3"/>
      <c r="J24" s="3"/>
      <c r="K24" s="3"/>
      <c r="L24" s="3"/>
      <c r="M24" s="3"/>
      <c r="N24" s="3"/>
    </row>
    <row r="25" spans="1:14" x14ac:dyDescent="0.55000000000000004">
      <c r="A25" t="s">
        <v>17</v>
      </c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</row>
    <row r="26" spans="1:14" x14ac:dyDescent="0.55000000000000004">
      <c r="A26" t="s">
        <v>18</v>
      </c>
      <c r="B26" t="str">
        <f t="shared" ref="B26:B36" ca="1" si="1">OFFSET(B26, 0, calcProjectOffset)</f>
        <v>No</v>
      </c>
      <c r="C26" s="3" t="s">
        <v>19</v>
      </c>
      <c r="D26" s="3" t="s">
        <v>19</v>
      </c>
      <c r="E26" s="3"/>
      <c r="F26" s="3"/>
      <c r="G26" s="3"/>
      <c r="H26" s="3"/>
      <c r="I26" s="3"/>
      <c r="J26" s="3"/>
      <c r="K26" s="3"/>
      <c r="L26" s="3"/>
      <c r="M26" s="3"/>
      <c r="N26" s="3"/>
    </row>
    <row r="27" spans="1:14" x14ac:dyDescent="0.55000000000000004">
      <c r="A27" t="s">
        <v>131</v>
      </c>
      <c r="B27" t="str">
        <f t="shared" ca="1" si="1"/>
        <v>Index.hhk</v>
      </c>
      <c r="C27" s="3" t="s">
        <v>45</v>
      </c>
      <c r="D27" s="3" t="s">
        <v>44</v>
      </c>
      <c r="E27" s="3"/>
      <c r="F27" s="3"/>
      <c r="G27" s="3"/>
      <c r="H27" s="3"/>
      <c r="I27" s="3"/>
      <c r="J27" s="3"/>
      <c r="K27" s="3"/>
      <c r="L27" s="3"/>
      <c r="M27" s="3"/>
      <c r="N27" s="3"/>
    </row>
    <row r="28" spans="1:14" x14ac:dyDescent="0.55000000000000004">
      <c r="A28" t="s">
        <v>20</v>
      </c>
      <c r="B28" t="str">
        <f t="shared" ca="1" si="1"/>
        <v>1.1 or later</v>
      </c>
      <c r="C28" s="3" t="s">
        <v>21</v>
      </c>
      <c r="D28" s="3" t="s">
        <v>21</v>
      </c>
      <c r="E28" s="3"/>
      <c r="F28" s="3"/>
      <c r="G28" s="3"/>
      <c r="H28" s="3"/>
      <c r="I28" s="3"/>
      <c r="J28" s="3"/>
      <c r="K28" s="3"/>
      <c r="L28" s="3"/>
      <c r="M28" s="3"/>
      <c r="N28" s="3"/>
    </row>
    <row r="29" spans="1:14" x14ac:dyDescent="0.55000000000000004">
      <c r="A29" t="s">
        <v>129</v>
      </c>
      <c r="B29" t="str">
        <f t="shared" ca="1" si="1"/>
        <v>DocuVeeb.chm</v>
      </c>
      <c r="C29" s="3" t="s">
        <v>47</v>
      </c>
      <c r="D29" s="3" t="s">
        <v>57</v>
      </c>
      <c r="E29" s="3"/>
      <c r="F29" s="3"/>
      <c r="G29" s="3"/>
      <c r="H29" s="3"/>
      <c r="I29" s="3"/>
      <c r="J29" s="3"/>
      <c r="K29" s="3"/>
      <c r="L29" s="3"/>
      <c r="M29" s="3"/>
      <c r="N29" s="3"/>
    </row>
    <row r="30" spans="1:14" x14ac:dyDescent="0.55000000000000004">
      <c r="A30" t="s">
        <v>130</v>
      </c>
      <c r="B30" t="str">
        <f t="shared" ca="1" si="1"/>
        <v>Contents.hhc</v>
      </c>
      <c r="C30" s="3" t="str">
        <f>C14 &amp; ".hhc"</f>
        <v>Contents.hhc</v>
      </c>
      <c r="D30" s="3" t="str">
        <f>D14 &amp; ".hhc"</f>
        <v>PMO Contents.hhc</v>
      </c>
      <c r="E30" s="3"/>
      <c r="F30" s="3"/>
      <c r="G30" s="3"/>
      <c r="H30" s="3"/>
      <c r="I30" s="3"/>
      <c r="J30" s="3"/>
      <c r="K30" s="3"/>
      <c r="L30" s="3"/>
      <c r="M30" s="3"/>
      <c r="N30" s="3"/>
    </row>
    <row r="31" spans="1:14" x14ac:dyDescent="0.55000000000000004">
      <c r="A31" t="s">
        <v>22</v>
      </c>
      <c r="B31" t="str">
        <f t="shared" ca="1" si="1"/>
        <v>Groups\ClsDeclaration.htm</v>
      </c>
      <c r="C31" s="3" t="s">
        <v>58</v>
      </c>
      <c r="D31" s="3" t="s">
        <v>56</v>
      </c>
      <c r="E31" s="3"/>
      <c r="F31" s="3"/>
      <c r="G31" s="3"/>
      <c r="H31" s="3"/>
      <c r="I31" s="3"/>
      <c r="J31" s="3"/>
      <c r="K31" s="3"/>
      <c r="L31" s="3"/>
      <c r="M31" s="3"/>
      <c r="N31" s="3"/>
    </row>
    <row r="32" spans="1:14" x14ac:dyDescent="0.55000000000000004">
      <c r="A32" t="s">
        <v>23</v>
      </c>
      <c r="B32" t="str">
        <f t="shared" ca="1" si="1"/>
        <v>Yes</v>
      </c>
      <c r="C32" s="3" t="s">
        <v>24</v>
      </c>
      <c r="D32" s="3" t="s">
        <v>24</v>
      </c>
      <c r="E32" s="3"/>
      <c r="F32" s="3"/>
      <c r="G32" s="3"/>
      <c r="H32" s="3"/>
      <c r="I32" s="3"/>
      <c r="J32" s="3"/>
      <c r="K32" s="3"/>
      <c r="L32" s="3"/>
      <c r="M32" s="3"/>
      <c r="N32" s="3"/>
    </row>
    <row r="33" spans="1:14" x14ac:dyDescent="0.55000000000000004">
      <c r="A33" t="s">
        <v>25</v>
      </c>
      <c r="B33" t="str">
        <f t="shared" ca="1" si="1"/>
        <v>ErrorLog.txt</v>
      </c>
      <c r="C33" s="3" t="s">
        <v>31</v>
      </c>
      <c r="D33" s="3" t="s">
        <v>31</v>
      </c>
      <c r="E33" s="3"/>
      <c r="F33" s="3"/>
      <c r="G33" s="3"/>
      <c r="H33" s="3"/>
      <c r="I33" s="3"/>
      <c r="J33" s="3"/>
      <c r="K33" s="3"/>
      <c r="L33" s="3"/>
      <c r="M33" s="3"/>
      <c r="N33" s="3"/>
    </row>
    <row r="34" spans="1:14" x14ac:dyDescent="0.55000000000000004">
      <c r="A34" t="s">
        <v>26</v>
      </c>
      <c r="B34" t="str">
        <f t="shared" ca="1" si="1"/>
        <v>Yes</v>
      </c>
      <c r="C34" s="3" t="s">
        <v>24</v>
      </c>
      <c r="D34" s="3" t="s">
        <v>24</v>
      </c>
      <c r="E34" s="3"/>
      <c r="F34" s="3"/>
      <c r="G34" s="3"/>
      <c r="H34" s="3"/>
      <c r="I34" s="3"/>
      <c r="J34" s="3"/>
      <c r="K34" s="3"/>
      <c r="L34" s="3"/>
      <c r="M34" s="3"/>
      <c r="N34" s="3"/>
    </row>
    <row r="35" spans="1:14" x14ac:dyDescent="0.55000000000000004">
      <c r="A35" t="s">
        <v>27</v>
      </c>
      <c r="B35" t="str">
        <f t="shared" ca="1" si="1"/>
        <v>0x409 English (United States)</v>
      </c>
      <c r="C35" s="3" t="s">
        <v>28</v>
      </c>
      <c r="D35" s="3" t="s">
        <v>28</v>
      </c>
      <c r="E35" s="3"/>
      <c r="F35" s="3"/>
      <c r="G35" s="3"/>
      <c r="H35" s="3"/>
      <c r="I35" s="3"/>
      <c r="J35" s="3"/>
      <c r="K35" s="3"/>
      <c r="L35" s="3"/>
      <c r="M35" s="3"/>
      <c r="N35" s="3"/>
    </row>
    <row r="36" spans="1:14" x14ac:dyDescent="0.55000000000000004">
      <c r="A36" t="s">
        <v>29</v>
      </c>
      <c r="B36" t="str">
        <f t="shared" ca="1" si="1"/>
        <v>DocuVeeb Auto Doc</v>
      </c>
      <c r="C36" s="3" t="s">
        <v>43</v>
      </c>
      <c r="D36" s="3" t="s">
        <v>30</v>
      </c>
      <c r="E36" s="3"/>
      <c r="F36" s="3"/>
      <c r="G36" s="3"/>
      <c r="H36" s="3"/>
      <c r="I36" s="3"/>
      <c r="J36" s="3"/>
      <c r="K36" s="3"/>
      <c r="L36" s="3"/>
      <c r="M36" s="3"/>
      <c r="N36" s="3"/>
    </row>
  </sheetData>
  <dataValidations disablePrompts="1" count="1">
    <dataValidation type="list" allowBlank="1" showInputMessage="1" showErrorMessage="1" sqref="B8" xr:uid="{00000000-0002-0000-0000-000001000000}">
      <formula1>listProjectNames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" r:id="rId4" name="Button 20">
              <controlPr defaultSize="0" print="0" autoFill="0" autoPict="0" macro="[0]!DocuVeebMain">
                <anchor moveWithCells="1">
                  <from>
                    <xdr:col>1</xdr:col>
                    <xdr:colOff>335280</xdr:colOff>
                    <xdr:row>0</xdr:row>
                    <xdr:rowOff>152400</xdr:rowOff>
                  </from>
                  <to>
                    <xdr:col>1</xdr:col>
                    <xdr:colOff>2590800</xdr:colOff>
                    <xdr:row>4</xdr:row>
                    <xdr:rowOff>118110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D48"/>
  <sheetViews>
    <sheetView topLeftCell="A29" workbookViewId="0">
      <selection activeCell="C49" sqref="C49"/>
    </sheetView>
  </sheetViews>
  <sheetFormatPr defaultColWidth="8.89453125" defaultRowHeight="14.4" x14ac:dyDescent="0.55000000000000004"/>
  <cols>
    <col min="1" max="2" width="11.41796875" style="1" customWidth="1"/>
    <col min="3" max="3" width="99.3125" style="1" customWidth="1"/>
    <col min="4" max="4" width="54.41796875" style="1" customWidth="1"/>
    <col min="5" max="16384" width="8.89453125" style="1"/>
  </cols>
  <sheetData>
    <row r="1" spans="1:4" x14ac:dyDescent="0.55000000000000004">
      <c r="A1" s="5" t="s">
        <v>5</v>
      </c>
      <c r="B1" s="4" t="s">
        <v>6</v>
      </c>
      <c r="C1" s="4" t="s">
        <v>7</v>
      </c>
      <c r="D1" s="4" t="s">
        <v>8</v>
      </c>
    </row>
    <row r="4" spans="1:4" x14ac:dyDescent="0.55000000000000004">
      <c r="A4" s="1">
        <v>1.3</v>
      </c>
      <c r="B4" s="6">
        <v>42267</v>
      </c>
      <c r="C4" s="1" t="s">
        <v>11</v>
      </c>
    </row>
    <row r="5" spans="1:4" ht="28.8" x14ac:dyDescent="0.55000000000000004">
      <c r="A5" s="1">
        <v>1.4</v>
      </c>
      <c r="B5" s="6">
        <v>42271</v>
      </c>
      <c r="C5" s="1" t="s">
        <v>10</v>
      </c>
    </row>
    <row r="6" spans="1:4" x14ac:dyDescent="0.55000000000000004">
      <c r="C6" s="1" t="s">
        <v>9</v>
      </c>
    </row>
    <row r="7" spans="1:4" x14ac:dyDescent="0.55000000000000004">
      <c r="B7" s="6">
        <v>42275</v>
      </c>
      <c r="C7" s="1" t="s">
        <v>13</v>
      </c>
    </row>
    <row r="8" spans="1:4" x14ac:dyDescent="0.55000000000000004">
      <c r="A8" s="1">
        <v>1.5</v>
      </c>
      <c r="B8" s="6">
        <v>42276</v>
      </c>
      <c r="C8" s="1" t="s">
        <v>12</v>
      </c>
    </row>
    <row r="9" spans="1:4" x14ac:dyDescent="0.55000000000000004">
      <c r="C9" s="1" t="s">
        <v>14</v>
      </c>
    </row>
    <row r="10" spans="1:4" x14ac:dyDescent="0.55000000000000004">
      <c r="A10" s="1">
        <v>1.6</v>
      </c>
      <c r="B10" s="6">
        <v>42279</v>
      </c>
      <c r="C10" s="1" t="s">
        <v>15</v>
      </c>
    </row>
    <row r="11" spans="1:4" x14ac:dyDescent="0.55000000000000004">
      <c r="C11" s="1" t="s">
        <v>16</v>
      </c>
    </row>
    <row r="12" spans="1:4" ht="28.8" x14ac:dyDescent="0.55000000000000004">
      <c r="A12" s="1">
        <v>1.7</v>
      </c>
      <c r="B12" s="6">
        <v>42307</v>
      </c>
      <c r="C12" s="1" t="s">
        <v>38</v>
      </c>
    </row>
    <row r="13" spans="1:4" x14ac:dyDescent="0.55000000000000004">
      <c r="C13" s="1" t="s">
        <v>36</v>
      </c>
    </row>
    <row r="14" spans="1:4" ht="28.8" x14ac:dyDescent="0.55000000000000004">
      <c r="B14" s="6">
        <v>42314</v>
      </c>
      <c r="C14" s="1" t="s">
        <v>37</v>
      </c>
    </row>
    <row r="15" spans="1:4" x14ac:dyDescent="0.55000000000000004">
      <c r="B15" s="6">
        <v>42325</v>
      </c>
      <c r="C15" s="1" t="s">
        <v>39</v>
      </c>
    </row>
    <row r="16" spans="1:4" x14ac:dyDescent="0.55000000000000004">
      <c r="A16" s="1">
        <v>1.8</v>
      </c>
      <c r="B16" s="6">
        <v>42336</v>
      </c>
      <c r="C16" s="1" t="s">
        <v>40</v>
      </c>
    </row>
    <row r="17" spans="1:4" x14ac:dyDescent="0.55000000000000004">
      <c r="C17" s="1" t="s">
        <v>41</v>
      </c>
    </row>
    <row r="18" spans="1:4" x14ac:dyDescent="0.55000000000000004">
      <c r="C18" s="1" t="s">
        <v>53</v>
      </c>
    </row>
    <row r="19" spans="1:4" x14ac:dyDescent="0.55000000000000004">
      <c r="A19" s="1">
        <v>1.9</v>
      </c>
      <c r="B19" s="6">
        <v>42340</v>
      </c>
      <c r="C19" s="1" t="s">
        <v>73</v>
      </c>
    </row>
    <row r="20" spans="1:4" ht="28.8" x14ac:dyDescent="0.55000000000000004">
      <c r="C20" s="1" t="s">
        <v>61</v>
      </c>
    </row>
    <row r="21" spans="1:4" x14ac:dyDescent="0.55000000000000004">
      <c r="C21" s="1" t="s">
        <v>62</v>
      </c>
    </row>
    <row r="22" spans="1:4" x14ac:dyDescent="0.55000000000000004">
      <c r="A22" s="1" t="s">
        <v>63</v>
      </c>
      <c r="B22" s="6">
        <v>42341</v>
      </c>
      <c r="C22" s="1" t="s">
        <v>64</v>
      </c>
    </row>
    <row r="23" spans="1:4" x14ac:dyDescent="0.55000000000000004">
      <c r="C23" s="1" t="s">
        <v>65</v>
      </c>
    </row>
    <row r="24" spans="1:4" x14ac:dyDescent="0.55000000000000004">
      <c r="A24" s="1" t="s">
        <v>67</v>
      </c>
      <c r="B24" s="6">
        <v>42363</v>
      </c>
      <c r="C24" s="1" t="s">
        <v>68</v>
      </c>
    </row>
    <row r="25" spans="1:4" x14ac:dyDescent="0.55000000000000004">
      <c r="C25" s="1" t="s">
        <v>70</v>
      </c>
    </row>
    <row r="26" spans="1:4" x14ac:dyDescent="0.55000000000000004">
      <c r="C26" s="1" t="s">
        <v>69</v>
      </c>
    </row>
    <row r="27" spans="1:4" x14ac:dyDescent="0.55000000000000004">
      <c r="C27" s="1" t="s">
        <v>72</v>
      </c>
    </row>
    <row r="28" spans="1:4" x14ac:dyDescent="0.55000000000000004">
      <c r="A28" s="1" t="s">
        <v>78</v>
      </c>
      <c r="B28" s="6">
        <v>42450</v>
      </c>
      <c r="C28" s="1" t="s">
        <v>79</v>
      </c>
      <c r="D28" s="1" t="s">
        <v>74</v>
      </c>
    </row>
    <row r="29" spans="1:4" x14ac:dyDescent="0.55000000000000004">
      <c r="A29" s="1" t="s">
        <v>80</v>
      </c>
      <c r="C29" s="1" t="s">
        <v>81</v>
      </c>
      <c r="D29" s="1" t="s">
        <v>75</v>
      </c>
    </row>
    <row r="30" spans="1:4" x14ac:dyDescent="0.55000000000000004">
      <c r="B30" s="6">
        <v>42461</v>
      </c>
      <c r="C30" s="1" t="s">
        <v>82</v>
      </c>
      <c r="D30" s="1" t="s">
        <v>76</v>
      </c>
    </row>
    <row r="31" spans="1:4" x14ac:dyDescent="0.55000000000000004">
      <c r="C31" s="1" t="s">
        <v>83</v>
      </c>
      <c r="D31" s="1" t="s">
        <v>77</v>
      </c>
    </row>
    <row r="32" spans="1:4" ht="28.8" x14ac:dyDescent="0.55000000000000004">
      <c r="C32" s="1" t="s">
        <v>84</v>
      </c>
    </row>
    <row r="33" spans="1:3" x14ac:dyDescent="0.55000000000000004">
      <c r="B33" s="6">
        <v>42465</v>
      </c>
      <c r="C33" s="1" t="s">
        <v>85</v>
      </c>
    </row>
    <row r="34" spans="1:3" x14ac:dyDescent="0.55000000000000004">
      <c r="A34" s="1" t="s">
        <v>86</v>
      </c>
      <c r="B34" s="6">
        <v>42595</v>
      </c>
      <c r="C34" s="1" t="s">
        <v>87</v>
      </c>
    </row>
    <row r="35" spans="1:3" x14ac:dyDescent="0.55000000000000004">
      <c r="A35" s="1" t="s">
        <v>89</v>
      </c>
      <c r="B35" s="6">
        <v>42810</v>
      </c>
      <c r="C35" s="1" t="s">
        <v>88</v>
      </c>
    </row>
    <row r="36" spans="1:3" x14ac:dyDescent="0.55000000000000004">
      <c r="A36" s="1" t="s">
        <v>90</v>
      </c>
      <c r="B36" s="6">
        <v>43399</v>
      </c>
      <c r="C36" s="1" t="s">
        <v>91</v>
      </c>
    </row>
    <row r="37" spans="1:3" x14ac:dyDescent="0.55000000000000004">
      <c r="C37" s="1" t="s">
        <v>92</v>
      </c>
    </row>
    <row r="38" spans="1:3" x14ac:dyDescent="0.55000000000000004">
      <c r="A38" s="1" t="s">
        <v>96</v>
      </c>
      <c r="B38" s="6">
        <v>43577</v>
      </c>
      <c r="C38" s="1" t="s">
        <v>97</v>
      </c>
    </row>
    <row r="39" spans="1:3" x14ac:dyDescent="0.55000000000000004">
      <c r="A39" s="1" t="s">
        <v>102</v>
      </c>
      <c r="B39" s="6">
        <v>43963</v>
      </c>
      <c r="C39" s="1" t="s">
        <v>103</v>
      </c>
    </row>
    <row r="40" spans="1:3" x14ac:dyDescent="0.55000000000000004">
      <c r="A40" s="1" t="s">
        <v>104</v>
      </c>
      <c r="C40" s="1" t="s">
        <v>107</v>
      </c>
    </row>
    <row r="41" spans="1:3" x14ac:dyDescent="0.55000000000000004">
      <c r="A41" s="1" t="s">
        <v>105</v>
      </c>
      <c r="B41" s="6">
        <v>44921</v>
      </c>
      <c r="C41" s="1" t="s">
        <v>106</v>
      </c>
    </row>
    <row r="42" spans="1:3" x14ac:dyDescent="0.55000000000000004">
      <c r="A42" s="1" t="s">
        <v>110</v>
      </c>
      <c r="B42" s="6">
        <v>44960</v>
      </c>
      <c r="C42" s="1" t="s">
        <v>116</v>
      </c>
    </row>
    <row r="43" spans="1:3" x14ac:dyDescent="0.55000000000000004">
      <c r="C43" s="1" t="s">
        <v>111</v>
      </c>
    </row>
    <row r="44" spans="1:3" x14ac:dyDescent="0.55000000000000004">
      <c r="C44" s="1" t="s">
        <v>112</v>
      </c>
    </row>
    <row r="45" spans="1:3" x14ac:dyDescent="0.55000000000000004">
      <c r="C45" s="1" t="s">
        <v>115</v>
      </c>
    </row>
    <row r="46" spans="1:3" x14ac:dyDescent="0.55000000000000004">
      <c r="C46" s="1" t="s">
        <v>117</v>
      </c>
    </row>
    <row r="47" spans="1:3" x14ac:dyDescent="0.55000000000000004">
      <c r="C47" s="1" t="s">
        <v>118</v>
      </c>
    </row>
    <row r="48" spans="1:3" x14ac:dyDescent="0.55000000000000004">
      <c r="C48" s="1" t="s">
        <v>127</v>
      </c>
    </row>
  </sheetData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2F3A5-5C04-459E-A417-E8BCCD2CFA65}">
  <sheetPr codeName="Sheet5"/>
  <dimension ref="A2:A29"/>
  <sheetViews>
    <sheetView topLeftCell="A7" workbookViewId="0">
      <selection activeCell="A25" sqref="A25"/>
    </sheetView>
  </sheetViews>
  <sheetFormatPr defaultRowHeight="14.4" x14ac:dyDescent="0.55000000000000004"/>
  <cols>
    <col min="1" max="1" width="14.9453125" customWidth="1"/>
  </cols>
  <sheetData>
    <row r="2" spans="1:1" x14ac:dyDescent="0.55000000000000004">
      <c r="A2" s="11" t="s">
        <v>132</v>
      </c>
    </row>
    <row r="3" spans="1:1" x14ac:dyDescent="0.55000000000000004">
      <c r="A3" t="s">
        <v>95</v>
      </c>
    </row>
    <row r="4" spans="1:1" x14ac:dyDescent="0.55000000000000004">
      <c r="A4" t="s">
        <v>94</v>
      </c>
    </row>
    <row r="5" spans="1:1" x14ac:dyDescent="0.55000000000000004">
      <c r="A5" t="s">
        <v>93</v>
      </c>
    </row>
    <row r="8" spans="1:1" x14ac:dyDescent="0.55000000000000004">
      <c r="A8" t="s">
        <v>135</v>
      </c>
    </row>
    <row r="10" spans="1:1" x14ac:dyDescent="0.55000000000000004">
      <c r="A10" t="s">
        <v>134</v>
      </c>
    </row>
    <row r="11" spans="1:1" x14ac:dyDescent="0.55000000000000004">
      <c r="A11" t="s">
        <v>136</v>
      </c>
    </row>
    <row r="13" spans="1:1" x14ac:dyDescent="0.55000000000000004">
      <c r="A13" t="s">
        <v>137</v>
      </c>
    </row>
    <row r="14" spans="1:1" x14ac:dyDescent="0.55000000000000004">
      <c r="A14" t="s">
        <v>133</v>
      </c>
    </row>
    <row r="16" spans="1:1" x14ac:dyDescent="0.55000000000000004">
      <c r="A16" s="8" t="s">
        <v>98</v>
      </c>
    </row>
    <row r="17" spans="1:1" x14ac:dyDescent="0.55000000000000004">
      <c r="A17" s="8" t="s">
        <v>99</v>
      </c>
    </row>
    <row r="18" spans="1:1" x14ac:dyDescent="0.55000000000000004">
      <c r="A18" s="8" t="s">
        <v>100</v>
      </c>
    </row>
    <row r="19" spans="1:1" x14ac:dyDescent="0.55000000000000004">
      <c r="A19" s="8" t="s">
        <v>101</v>
      </c>
    </row>
    <row r="24" spans="1:1" x14ac:dyDescent="0.55000000000000004">
      <c r="A24" t="s">
        <v>138</v>
      </c>
    </row>
    <row r="25" spans="1:1" x14ac:dyDescent="0.55000000000000004">
      <c r="A25" t="str">
        <f ca="1">CELL("filename")</f>
        <v>C:\Richard\Consulting\State\Contract\Pay\Telework\[PP 05 Home Telework Record - Richard Cook.xlsm]Time Entry</v>
      </c>
    </row>
    <row r="27" spans="1:1" x14ac:dyDescent="0.55000000000000004">
      <c r="A27" t="s">
        <v>126</v>
      </c>
    </row>
    <row r="28" spans="1:1" x14ac:dyDescent="0.55000000000000004">
      <c r="A28" s="9" t="s">
        <v>46</v>
      </c>
    </row>
    <row r="29" spans="1:1" x14ac:dyDescent="0.55000000000000004">
      <c r="A29" s="9">
        <f>MATCH(ProjectName, listProjectNames, 0)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20</vt:i4>
      </vt:variant>
    </vt:vector>
  </HeadingPairs>
  <TitlesOfParts>
    <vt:vector size="23" baseType="lpstr">
      <vt:lpstr>Parameters</vt:lpstr>
      <vt:lpstr>Change Log</vt:lpstr>
      <vt:lpstr>Notes &amp; Calcs</vt:lpstr>
      <vt:lpstr>calcDocuVeebPath</vt:lpstr>
      <vt:lpstr>calcProjectOffset</vt:lpstr>
      <vt:lpstr>calcThisVersion</vt:lpstr>
      <vt:lpstr>fileContents</vt:lpstr>
      <vt:lpstr>fileIndex</vt:lpstr>
      <vt:lpstr>fileVbaProject</vt:lpstr>
      <vt:lpstr>optionGroupPages</vt:lpstr>
      <vt:lpstr>optionHtmlHelpContents</vt:lpstr>
      <vt:lpstr>optionHtmlHelpProject</vt:lpstr>
      <vt:lpstr>optionIncludeConstants</vt:lpstr>
      <vt:lpstr>optionIncludeEnums</vt:lpstr>
      <vt:lpstr>optionIncludePrivate</vt:lpstr>
      <vt:lpstr>optionWebHelpContents</vt:lpstr>
      <vt:lpstr>pathGroupFiles</vt:lpstr>
      <vt:lpstr>pathProject</vt:lpstr>
      <vt:lpstr>pathTopicFiles</vt:lpstr>
      <vt:lpstr>ProjectDisplayName</vt:lpstr>
      <vt:lpstr>ProjectName</vt:lpstr>
      <vt:lpstr>txtHhpOptions</vt:lpstr>
      <vt:lpstr>txtHtmlExtension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Cook</dc:creator>
  <cp:lastModifiedBy>Dr. Richard Cook</cp:lastModifiedBy>
  <dcterms:created xsi:type="dcterms:W3CDTF">2014-05-23T16:20:10Z</dcterms:created>
  <dcterms:modified xsi:type="dcterms:W3CDTF">2023-03-01T16:04:20Z</dcterms:modified>
  <cp:version>2.0</cp:version>
</cp:coreProperties>
</file>